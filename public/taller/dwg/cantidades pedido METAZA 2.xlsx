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 GAMER\Documents\01-PROYECTOS_2025\02-Camara_Comercio\00-Cantidades\metaza\"/>
    </mc:Choice>
  </mc:AlternateContent>
  <bookViews>
    <workbookView xWindow="-120" yWindow="-120" windowWidth="29040" windowHeight="15720"/>
  </bookViews>
  <sheets>
    <sheet name="Hoja1" sheetId="1" r:id="rId1"/>
  </sheets>
  <definedNames>
    <definedName name="_xlnm.Print_Area" localSheetId="0">Hoja1!$B$4:$I$58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" i="1"/>
  <c r="I26" i="1"/>
  <c r="I25" i="1"/>
  <c r="I24" i="1"/>
  <c r="I23" i="1"/>
  <c r="I22" i="1"/>
  <c r="I21" i="1"/>
  <c r="I20" i="1"/>
  <c r="I19" i="1"/>
  <c r="I18" i="1"/>
  <c r="D17" i="1"/>
  <c r="I17" i="1" s="1"/>
  <c r="I16" i="1"/>
  <c r="I15" i="1"/>
  <c r="I14" i="1"/>
  <c r="I13" i="1"/>
  <c r="I12" i="1"/>
  <c r="I11" i="1"/>
  <c r="I10" i="1"/>
  <c r="I9" i="1"/>
  <c r="I8" i="1"/>
  <c r="I7" i="1"/>
  <c r="I6" i="1"/>
  <c r="I5" i="1"/>
  <c r="H54" i="1" l="1"/>
  <c r="I54" i="1"/>
  <c r="H55" i="1" l="1"/>
</calcChain>
</file>

<file path=xl/sharedStrings.xml><?xml version="1.0" encoding="utf-8"?>
<sst xmlns="http://schemas.openxmlformats.org/spreadsheetml/2006/main" count="120" uniqueCount="45">
  <si>
    <t>REFERENCIA</t>
  </si>
  <si>
    <t xml:space="preserve">unidades requeridas </t>
  </si>
  <si>
    <t>PRECIO UNITARIO             ($ COP)</t>
  </si>
  <si>
    <t>VALOR PARCIAL         ($ COP)</t>
  </si>
  <si>
    <t>peso unidades requeridas (ton)</t>
  </si>
  <si>
    <t>ASTM A572 Gr 50</t>
  </si>
  <si>
    <t>(8´x20´) x</t>
  </si>
  <si>
    <t>mm</t>
  </si>
  <si>
    <t xml:space="preserve">(8´x20´) x </t>
  </si>
  <si>
    <t>in</t>
  </si>
  <si>
    <t>HEA140</t>
  </si>
  <si>
    <t>x12</t>
  </si>
  <si>
    <t>m</t>
  </si>
  <si>
    <t>HEA240</t>
  </si>
  <si>
    <t>HEA280</t>
  </si>
  <si>
    <t>HEA400</t>
  </si>
  <si>
    <t>HEA450</t>
  </si>
  <si>
    <t>HEA500</t>
  </si>
  <si>
    <t>HEA600</t>
  </si>
  <si>
    <t>IPE160</t>
  </si>
  <si>
    <t>IPE200</t>
  </si>
  <si>
    <t>IPE240</t>
  </si>
  <si>
    <t>IPE270</t>
  </si>
  <si>
    <t>IPE300</t>
  </si>
  <si>
    <t>IPE330</t>
  </si>
  <si>
    <t>IPE360</t>
  </si>
  <si>
    <t>IPE400</t>
  </si>
  <si>
    <t>IPE450</t>
  </si>
  <si>
    <t>IPE750x137</t>
  </si>
  <si>
    <t>UPN160</t>
  </si>
  <si>
    <t>ASTM A500 Gr C</t>
  </si>
  <si>
    <t>TUBO Ø=12'' e=10.3mm</t>
  </si>
  <si>
    <t>TUBO Ø=16'' e=12.7mm</t>
  </si>
  <si>
    <t>TUBO Ø=20'' e=12.7mm</t>
  </si>
  <si>
    <t>TUBO 200X100X4mm</t>
  </si>
  <si>
    <t>TUBO 250X100X5mm</t>
  </si>
  <si>
    <t>TUBO 250X250X10mm</t>
  </si>
  <si>
    <t>TUBO 250X250X4mm</t>
  </si>
  <si>
    <t>TUBO 250X250X8mm</t>
  </si>
  <si>
    <t>TUBO 70X70X3mm</t>
  </si>
  <si>
    <t>SUBTOTAL</t>
  </si>
  <si>
    <t>$ COP</t>
  </si>
  <si>
    <t>$ COP/Kg</t>
  </si>
  <si>
    <t>Ton totales</t>
  </si>
  <si>
    <r>
      <rPr>
        <b/>
        <u/>
        <sz val="11"/>
        <color theme="1"/>
        <rFont val="Aptos Narrow"/>
        <family val="2"/>
        <scheme val="minor"/>
      </rPr>
      <t>Observaciones:</t>
    </r>
    <r>
      <rPr>
        <sz val="11"/>
        <color theme="1"/>
        <rFont val="Aptos Narrow"/>
        <family val="2"/>
        <scheme val="minor"/>
      </rPr>
      <t xml:space="preserve">  Las vigas y tubería se puede despachar en 6 m o 12 m de acuerdo con disponibilidad. </t>
    </r>
    <r>
      <rPr>
        <sz val="14"/>
        <color theme="1"/>
        <rFont val="Aptos Narrow"/>
        <family val="2"/>
        <scheme val="minor"/>
      </rPr>
      <t>Origen China.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</si>
</sst>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&quot;$&quot;\ #,##0.0"/>
    <numFmt numFmtId="165" formatCode="#\ ?/8"/>
    <numFmt numFmtId="166" formatCode="#\ ?/2"/>
    <numFmt numFmtId="167" formatCode="#\ ?/4"/>
    <numFmt numFmtId="169" formatCode="&quot;$&quot;\ #,##0.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1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1" fontId="0" fillId="0" borderId="24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2" fontId="1" fillId="0" borderId="7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12" fontId="1" fillId="0" borderId="9" xfId="0" applyNumberFormat="1" applyFont="1" applyBorder="1" applyAlignment="1">
      <alignment horizontal="left"/>
    </xf>
    <xf numFmtId="12" fontId="1" fillId="0" borderId="14" xfId="0" applyNumberFormat="1" applyFont="1" applyBorder="1" applyAlignment="1">
      <alignment horizontal="left"/>
    </xf>
    <xf numFmtId="165" fontId="1" fillId="0" borderId="15" xfId="0" applyNumberFormat="1" applyFont="1" applyBorder="1" applyAlignment="1">
      <alignment horizontal="left"/>
    </xf>
    <xf numFmtId="12" fontId="1" fillId="0" borderId="28" xfId="0" applyNumberFormat="1" applyFont="1" applyBorder="1" applyAlignment="1">
      <alignment horizontal="left"/>
    </xf>
    <xf numFmtId="164" fontId="0" fillId="0" borderId="29" xfId="0" applyNumberFormat="1" applyBorder="1" applyAlignment="1">
      <alignment horizontal="center"/>
    </xf>
    <xf numFmtId="166" fontId="1" fillId="0" borderId="15" xfId="0" applyNumberFormat="1" applyFont="1" applyBorder="1" applyAlignment="1">
      <alignment horizontal="left"/>
    </xf>
    <xf numFmtId="167" fontId="1" fillId="0" borderId="15" xfId="0" applyNumberFormat="1" applyFont="1" applyBorder="1" applyAlignment="1">
      <alignment horizontal="left"/>
    </xf>
    <xf numFmtId="12" fontId="1" fillId="0" borderId="21" xfId="0" applyNumberFormat="1" applyFont="1" applyBorder="1" applyAlignment="1">
      <alignment horizontal="left"/>
    </xf>
    <xf numFmtId="167" fontId="1" fillId="0" borderId="22" xfId="0" applyNumberFormat="1" applyFont="1" applyBorder="1" applyAlignment="1">
      <alignment horizontal="left"/>
    </xf>
    <xf numFmtId="12" fontId="1" fillId="0" borderId="32" xfId="0" applyNumberFormat="1" applyFont="1" applyBorder="1" applyAlignment="1">
      <alignment horizontal="left"/>
    </xf>
    <xf numFmtId="164" fontId="0" fillId="0" borderId="33" xfId="0" applyNumberForma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" fontId="0" fillId="0" borderId="34" xfId="0" applyNumberForma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28" xfId="0" applyFont="1" applyBorder="1"/>
    <xf numFmtId="1" fontId="0" fillId="0" borderId="35" xfId="0" applyNumberFormat="1" applyBorder="1" applyAlignment="1">
      <alignment horizontal="center"/>
    </xf>
    <xf numFmtId="1" fontId="0" fillId="0" borderId="37" xfId="0" applyNumberForma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32" xfId="0" applyFont="1" applyBorder="1"/>
    <xf numFmtId="1" fontId="0" fillId="0" borderId="39" xfId="0" applyNumberFormat="1" applyBorder="1" applyAlignment="1">
      <alignment horizontal="center"/>
    </xf>
    <xf numFmtId="0" fontId="1" fillId="0" borderId="40" xfId="0" applyFont="1" applyBorder="1"/>
    <xf numFmtId="0" fontId="1" fillId="0" borderId="41" xfId="0" applyFont="1" applyBorder="1"/>
    <xf numFmtId="0" fontId="1" fillId="0" borderId="23" xfId="0" applyFont="1" applyBorder="1"/>
    <xf numFmtId="1" fontId="0" fillId="0" borderId="19" xfId="0" applyNumberFormat="1" applyBorder="1" applyAlignment="1">
      <alignment horizontal="center"/>
    </xf>
    <xf numFmtId="0" fontId="1" fillId="0" borderId="42" xfId="0" applyFont="1" applyBorder="1"/>
    <xf numFmtId="0" fontId="0" fillId="0" borderId="43" xfId="0" applyBorder="1"/>
    <xf numFmtId="0" fontId="0" fillId="0" borderId="44" xfId="0" applyBorder="1"/>
    <xf numFmtId="0" fontId="0" fillId="0" borderId="45" xfId="0" applyBorder="1" applyAlignment="1">
      <alignment horizontal="center"/>
    </xf>
    <xf numFmtId="0" fontId="1" fillId="0" borderId="46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 applyAlignment="1">
      <alignment horizontal="center"/>
    </xf>
    <xf numFmtId="0" fontId="1" fillId="0" borderId="50" xfId="0" applyFont="1" applyBorder="1"/>
    <xf numFmtId="0" fontId="0" fillId="0" borderId="51" xfId="0" applyBorder="1"/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horizontal="center"/>
    </xf>
    <xf numFmtId="164" fontId="0" fillId="0" borderId="54" xfId="0" applyNumberFormat="1" applyBorder="1"/>
    <xf numFmtId="0" fontId="0" fillId="0" borderId="55" xfId="0" applyBorder="1"/>
    <xf numFmtId="0" fontId="0" fillId="0" borderId="0" xfId="0" applyAlignment="1">
      <alignment horizontal="right"/>
    </xf>
    <xf numFmtId="169" fontId="0" fillId="0" borderId="0" xfId="0" applyNumberFormat="1"/>
    <xf numFmtId="0" fontId="0" fillId="0" borderId="31" xfId="0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4" fillId="0" borderId="31" xfId="0" applyFont="1" applyBorder="1" applyAlignment="1">
      <alignment horizontal="center" vertical="center" textRotation="90" wrapText="1"/>
    </xf>
    <xf numFmtId="0" fontId="0" fillId="0" borderId="56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43" fontId="0" fillId="0" borderId="12" xfId="1" applyFont="1" applyBorder="1" applyAlignment="1">
      <alignment horizontal="right"/>
    </xf>
    <xf numFmtId="43" fontId="0" fillId="0" borderId="20" xfId="1" applyFont="1" applyBorder="1" applyAlignment="1">
      <alignment horizontal="right"/>
    </xf>
    <xf numFmtId="43" fontId="0" fillId="0" borderId="26" xfId="1" applyFont="1" applyBorder="1" applyAlignment="1">
      <alignment horizontal="right"/>
    </xf>
    <xf numFmtId="43" fontId="0" fillId="0" borderId="27" xfId="1" applyFont="1" applyBorder="1" applyAlignment="1">
      <alignment horizontal="right"/>
    </xf>
    <xf numFmtId="43" fontId="0" fillId="0" borderId="30" xfId="1" applyFont="1" applyBorder="1" applyAlignment="1">
      <alignment horizontal="right"/>
    </xf>
    <xf numFmtId="43" fontId="0" fillId="0" borderId="36" xfId="1" applyFont="1" applyBorder="1" applyAlignment="1">
      <alignment horizontal="right"/>
    </xf>
    <xf numFmtId="43" fontId="0" fillId="0" borderId="38" xfId="1" applyFont="1" applyBorder="1" applyAlignment="1">
      <alignment horizontal="right"/>
    </xf>
    <xf numFmtId="43" fontId="0" fillId="0" borderId="31" xfId="1" applyFont="1" applyBorder="1" applyAlignment="1">
      <alignment horizontal="right"/>
    </xf>
    <xf numFmtId="43" fontId="1" fillId="0" borderId="6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8"/>
  <sheetViews>
    <sheetView tabSelected="1" view="pageBreakPreview" zoomScale="115" zoomScaleNormal="100" zoomScaleSheetLayoutView="115" workbookViewId="0">
      <selection activeCell="F9" sqref="F9"/>
    </sheetView>
  </sheetViews>
  <sheetFormatPr baseColWidth="10" defaultRowHeight="14.25"/>
  <cols>
    <col min="7" max="7" width="13.625" bestFit="1" customWidth="1"/>
    <col min="8" max="8" width="16.75" bestFit="1" customWidth="1"/>
    <col min="9" max="9" width="17" bestFit="1" customWidth="1"/>
    <col min="11" max="11" width="14.125" bestFit="1" customWidth="1"/>
  </cols>
  <sheetData>
    <row r="3" spans="2:9" ht="15" thickBot="1"/>
    <row r="4" spans="2:9" ht="60.75" thickBot="1">
      <c r="B4" s="1"/>
      <c r="C4" s="74" t="s">
        <v>0</v>
      </c>
      <c r="D4" s="75"/>
      <c r="E4" s="76"/>
      <c r="F4" s="2" t="s">
        <v>1</v>
      </c>
      <c r="G4" s="3" t="s">
        <v>2</v>
      </c>
      <c r="H4" s="2" t="s">
        <v>3</v>
      </c>
      <c r="I4" s="4" t="s">
        <v>4</v>
      </c>
    </row>
    <row r="5" spans="2:9" ht="15.75" thickBot="1">
      <c r="B5" s="77" t="s">
        <v>5</v>
      </c>
      <c r="C5" s="5" t="s">
        <v>6</v>
      </c>
      <c r="D5" s="6">
        <v>10</v>
      </c>
      <c r="E5" s="7" t="s">
        <v>7</v>
      </c>
      <c r="F5" s="8">
        <v>5</v>
      </c>
      <c r="G5" s="9">
        <v>4258357.0580459246</v>
      </c>
      <c r="H5" s="10">
        <f>G5*F5</f>
        <v>21291785.290229622</v>
      </c>
      <c r="I5" s="89">
        <f t="shared" ref="I5:I13" si="0">7.85*2.438*6.096*D5/1000*F5</f>
        <v>5.8333538399999991</v>
      </c>
    </row>
    <row r="6" spans="2:9" ht="15.75" thickBot="1">
      <c r="B6" s="78"/>
      <c r="C6" s="11" t="s">
        <v>8</v>
      </c>
      <c r="D6" s="12">
        <v>13</v>
      </c>
      <c r="E6" s="13" t="s">
        <v>7</v>
      </c>
      <c r="F6" s="14">
        <v>4</v>
      </c>
      <c r="G6" s="15">
        <v>5535864.1754597034</v>
      </c>
      <c r="H6" s="10">
        <f t="shared" ref="H6:H53" si="1">G6*F6</f>
        <v>22143456.701838814</v>
      </c>
      <c r="I6" s="90">
        <f t="shared" si="0"/>
        <v>6.0666879936000004</v>
      </c>
    </row>
    <row r="7" spans="2:9" ht="15.75" thickBot="1">
      <c r="B7" s="78"/>
      <c r="C7" s="11" t="s">
        <v>8</v>
      </c>
      <c r="D7" s="12">
        <v>22</v>
      </c>
      <c r="E7" s="13" t="s">
        <v>7</v>
      </c>
      <c r="F7" s="14">
        <v>23</v>
      </c>
      <c r="G7" s="15">
        <v>9368385.527701037</v>
      </c>
      <c r="H7" s="10">
        <f t="shared" si="1"/>
        <v>215472867.13712385</v>
      </c>
      <c r="I7" s="90">
        <f t="shared" si="0"/>
        <v>59.033540860800002</v>
      </c>
    </row>
    <row r="8" spans="2:9" ht="15.75" thickBot="1">
      <c r="B8" s="78"/>
      <c r="C8" s="11" t="s">
        <v>8</v>
      </c>
      <c r="D8" s="12">
        <v>25</v>
      </c>
      <c r="E8" s="13" t="s">
        <v>7</v>
      </c>
      <c r="F8" s="14">
        <v>63</v>
      </c>
      <c r="G8" s="15">
        <v>10645892.645114813</v>
      </c>
      <c r="H8" s="10">
        <f t="shared" si="1"/>
        <v>670691236.64223325</v>
      </c>
      <c r="I8" s="90">
        <f t="shared" si="0"/>
        <v>183.75064596000001</v>
      </c>
    </row>
    <row r="9" spans="2:9" ht="15.75" thickBot="1">
      <c r="B9" s="78"/>
      <c r="C9" s="11" t="s">
        <v>6</v>
      </c>
      <c r="D9" s="12">
        <v>35</v>
      </c>
      <c r="E9" s="13" t="s">
        <v>7</v>
      </c>
      <c r="F9" s="14">
        <v>15</v>
      </c>
      <c r="G9" s="15">
        <v>14904249.703160739</v>
      </c>
      <c r="H9" s="10">
        <f t="shared" si="1"/>
        <v>223563745.54741108</v>
      </c>
      <c r="I9" s="90">
        <f t="shared" si="0"/>
        <v>61.250215319999995</v>
      </c>
    </row>
    <row r="10" spans="2:9" ht="15.75" thickBot="1">
      <c r="B10" s="78"/>
      <c r="C10" s="11" t="s">
        <v>8</v>
      </c>
      <c r="D10" s="12">
        <v>38</v>
      </c>
      <c r="E10" s="13" t="s">
        <v>7</v>
      </c>
      <c r="F10" s="14">
        <v>16</v>
      </c>
      <c r="G10" s="15">
        <v>16181756.820574516</v>
      </c>
      <c r="H10" s="10">
        <f t="shared" si="1"/>
        <v>258908109.12919226</v>
      </c>
      <c r="I10" s="90">
        <f t="shared" si="0"/>
        <v>70.933582694400002</v>
      </c>
    </row>
    <row r="11" spans="2:9" ht="15.75" thickBot="1">
      <c r="B11" s="78"/>
      <c r="C11" s="11" t="s">
        <v>8</v>
      </c>
      <c r="D11" s="12">
        <v>42</v>
      </c>
      <c r="E11" s="13" t="s">
        <v>7</v>
      </c>
      <c r="F11" s="14">
        <v>5</v>
      </c>
      <c r="G11" s="15">
        <v>17885099.64379289</v>
      </c>
      <c r="H11" s="10">
        <f t="shared" si="1"/>
        <v>89425498.218964458</v>
      </c>
      <c r="I11" s="90">
        <f t="shared" si="0"/>
        <v>24.500086128000007</v>
      </c>
    </row>
    <row r="12" spans="2:9" ht="15.75" thickBot="1">
      <c r="B12" s="78"/>
      <c r="C12" s="11" t="s">
        <v>8</v>
      </c>
      <c r="D12" s="12">
        <v>45</v>
      </c>
      <c r="E12" s="13" t="s">
        <v>7</v>
      </c>
      <c r="F12" s="14">
        <v>73</v>
      </c>
      <c r="G12" s="15">
        <v>19162606.76120666</v>
      </c>
      <c r="H12" s="10">
        <f t="shared" si="1"/>
        <v>1398870293.5680861</v>
      </c>
      <c r="I12" s="90">
        <f t="shared" si="0"/>
        <v>383.25134728799998</v>
      </c>
    </row>
    <row r="13" spans="2:9" ht="15.75" thickBot="1">
      <c r="B13" s="78"/>
      <c r="C13" s="16" t="s">
        <v>6</v>
      </c>
      <c r="D13" s="17">
        <v>64</v>
      </c>
      <c r="E13" s="18" t="s">
        <v>7</v>
      </c>
      <c r="F13" s="19">
        <v>19</v>
      </c>
      <c r="G13" s="20">
        <v>27253485.171493921</v>
      </c>
      <c r="H13" s="10">
        <f t="shared" si="1"/>
        <v>517816218.25838453</v>
      </c>
      <c r="I13" s="91">
        <f t="shared" si="0"/>
        <v>141.8671653888</v>
      </c>
    </row>
    <row r="14" spans="2:9" ht="15.75" thickBot="1">
      <c r="B14" s="78"/>
      <c r="C14" s="21" t="s">
        <v>6</v>
      </c>
      <c r="D14" s="22">
        <v>5</v>
      </c>
      <c r="E14" s="23" t="s">
        <v>9</v>
      </c>
      <c r="F14" s="8">
        <v>1</v>
      </c>
      <c r="G14" s="9">
        <v>54081134.637183234</v>
      </c>
      <c r="H14" s="10">
        <f t="shared" si="1"/>
        <v>54081134.637183234</v>
      </c>
      <c r="I14" s="92">
        <f t="shared" ref="I14:I26" si="2">7.85*2.438*6.096*D14*25.4/1000*F14</f>
        <v>14.816718753599998</v>
      </c>
    </row>
    <row r="15" spans="2:9" ht="15.75" thickBot="1">
      <c r="B15" s="78"/>
      <c r="C15" s="24" t="s">
        <v>8</v>
      </c>
      <c r="D15" s="25">
        <v>4</v>
      </c>
      <c r="E15" s="26" t="s">
        <v>9</v>
      </c>
      <c r="F15" s="14">
        <v>4</v>
      </c>
      <c r="G15" s="27">
        <v>43264907.709746599</v>
      </c>
      <c r="H15" s="10">
        <f t="shared" si="1"/>
        <v>173059630.8389864</v>
      </c>
      <c r="I15" s="93">
        <f t="shared" si="2"/>
        <v>47.41350001152</v>
      </c>
    </row>
    <row r="16" spans="2:9" ht="15.75" thickBot="1">
      <c r="B16" s="78"/>
      <c r="C16" s="24" t="s">
        <v>8</v>
      </c>
      <c r="D16" s="25">
        <v>3</v>
      </c>
      <c r="E16" s="26" t="s">
        <v>9</v>
      </c>
      <c r="F16" s="14">
        <v>2</v>
      </c>
      <c r="G16" s="27">
        <v>32448680.782309946</v>
      </c>
      <c r="H16" s="10">
        <f t="shared" si="1"/>
        <v>64897361.564619891</v>
      </c>
      <c r="I16" s="93">
        <f t="shared" si="2"/>
        <v>17.780062504319996</v>
      </c>
    </row>
    <row r="17" spans="2:9" ht="15.75" thickBot="1">
      <c r="B17" s="78"/>
      <c r="C17" s="24" t="s">
        <v>8</v>
      </c>
      <c r="D17" s="28">
        <f>2.5</f>
        <v>2.5</v>
      </c>
      <c r="E17" s="26" t="s">
        <v>9</v>
      </c>
      <c r="F17" s="14">
        <v>20</v>
      </c>
      <c r="G17" s="27">
        <v>27040567.318591617</v>
      </c>
      <c r="H17" s="10">
        <f t="shared" si="1"/>
        <v>540811346.37183237</v>
      </c>
      <c r="I17" s="93">
        <f t="shared" si="2"/>
        <v>148.16718753599997</v>
      </c>
    </row>
    <row r="18" spans="2:9" ht="15.75" thickBot="1">
      <c r="B18" s="78"/>
      <c r="C18" s="24" t="s">
        <v>8</v>
      </c>
      <c r="D18" s="28">
        <v>2</v>
      </c>
      <c r="E18" s="26" t="s">
        <v>9</v>
      </c>
      <c r="F18" s="14">
        <v>2</v>
      </c>
      <c r="G18" s="27">
        <v>21632453.8548733</v>
      </c>
      <c r="H18" s="10">
        <f t="shared" si="1"/>
        <v>43264907.709746599</v>
      </c>
      <c r="I18" s="93">
        <f t="shared" si="2"/>
        <v>11.85337500288</v>
      </c>
    </row>
    <row r="19" spans="2:9" ht="15.75" thickBot="1">
      <c r="B19" s="78"/>
      <c r="C19" s="24" t="s">
        <v>8</v>
      </c>
      <c r="D19" s="28">
        <v>1.5</v>
      </c>
      <c r="E19" s="26" t="s">
        <v>9</v>
      </c>
      <c r="F19" s="14">
        <v>10</v>
      </c>
      <c r="G19" s="27">
        <v>16224340.391154973</v>
      </c>
      <c r="H19" s="10">
        <f t="shared" si="1"/>
        <v>162243403.91154972</v>
      </c>
      <c r="I19" s="93">
        <f t="shared" si="2"/>
        <v>44.450156260799993</v>
      </c>
    </row>
    <row r="20" spans="2:9" ht="15.75" thickBot="1">
      <c r="B20" s="78"/>
      <c r="C20" s="24" t="s">
        <v>8</v>
      </c>
      <c r="D20" s="29">
        <v>1.25</v>
      </c>
      <c r="E20" s="26" t="s">
        <v>9</v>
      </c>
      <c r="F20" s="14">
        <v>2</v>
      </c>
      <c r="G20" s="27">
        <v>13520283.659295809</v>
      </c>
      <c r="H20" s="10">
        <f t="shared" si="1"/>
        <v>27040567.318591617</v>
      </c>
      <c r="I20" s="93">
        <f t="shared" si="2"/>
        <v>7.4083593767999991</v>
      </c>
    </row>
    <row r="21" spans="2:9" ht="15.75" thickBot="1">
      <c r="B21" s="78"/>
      <c r="C21" s="24" t="s">
        <v>8</v>
      </c>
      <c r="D21" s="28">
        <v>1</v>
      </c>
      <c r="E21" s="26" t="s">
        <v>9</v>
      </c>
      <c r="F21" s="14">
        <v>14</v>
      </c>
      <c r="G21" s="27">
        <v>10816226.92743665</v>
      </c>
      <c r="H21" s="10">
        <f t="shared" si="1"/>
        <v>151427176.9841131</v>
      </c>
      <c r="I21" s="93">
        <f t="shared" si="2"/>
        <v>41.48681251008</v>
      </c>
    </row>
    <row r="22" spans="2:9" ht="15.75" thickBot="1">
      <c r="B22" s="78"/>
      <c r="C22" s="24" t="s">
        <v>8</v>
      </c>
      <c r="D22" s="29">
        <v>0.75</v>
      </c>
      <c r="E22" s="26" t="s">
        <v>9</v>
      </c>
      <c r="F22" s="14">
        <v>4</v>
      </c>
      <c r="G22" s="27">
        <v>8112170.1955774864</v>
      </c>
      <c r="H22" s="10">
        <f t="shared" si="1"/>
        <v>32448680.782309946</v>
      </c>
      <c r="I22" s="93">
        <f t="shared" si="2"/>
        <v>8.8900312521599982</v>
      </c>
    </row>
    <row r="23" spans="2:9" ht="15.75" thickBot="1">
      <c r="B23" s="78"/>
      <c r="C23" s="24" t="s">
        <v>8</v>
      </c>
      <c r="D23" s="25">
        <v>0.625</v>
      </c>
      <c r="E23" s="26" t="s">
        <v>9</v>
      </c>
      <c r="F23" s="14">
        <v>4</v>
      </c>
      <c r="G23" s="27">
        <v>6760141.8296479043</v>
      </c>
      <c r="H23" s="10">
        <f t="shared" si="1"/>
        <v>27040567.318591617</v>
      </c>
      <c r="I23" s="93">
        <f t="shared" si="2"/>
        <v>7.4083593767999991</v>
      </c>
    </row>
    <row r="24" spans="2:9" ht="15.75" thickBot="1">
      <c r="B24" s="78"/>
      <c r="C24" s="24" t="s">
        <v>8</v>
      </c>
      <c r="D24" s="28">
        <v>0.5</v>
      </c>
      <c r="E24" s="26" t="s">
        <v>9</v>
      </c>
      <c r="F24" s="14">
        <v>5</v>
      </c>
      <c r="G24" s="27">
        <v>5408113.4637183249</v>
      </c>
      <c r="H24" s="10">
        <f t="shared" si="1"/>
        <v>27040567.318591624</v>
      </c>
      <c r="I24" s="93">
        <f t="shared" si="2"/>
        <v>7.4083593768</v>
      </c>
    </row>
    <row r="25" spans="2:9" ht="15.75" thickBot="1">
      <c r="B25" s="78"/>
      <c r="C25" s="24" t="s">
        <v>8</v>
      </c>
      <c r="D25" s="25">
        <v>0.375</v>
      </c>
      <c r="E25" s="26" t="s">
        <v>9</v>
      </c>
      <c r="F25" s="14">
        <v>25</v>
      </c>
      <c r="G25" s="27">
        <v>4056085.0977887432</v>
      </c>
      <c r="H25" s="10">
        <f t="shared" si="1"/>
        <v>101402127.44471858</v>
      </c>
      <c r="I25" s="93">
        <f t="shared" si="2"/>
        <v>27.781347662999995</v>
      </c>
    </row>
    <row r="26" spans="2:9" ht="15.75" thickBot="1">
      <c r="B26" s="79"/>
      <c r="C26" s="30" t="s">
        <v>8</v>
      </c>
      <c r="D26" s="31">
        <v>0.25</v>
      </c>
      <c r="E26" s="32" t="s">
        <v>9</v>
      </c>
      <c r="F26" s="19">
        <v>9</v>
      </c>
      <c r="G26" s="33">
        <v>2704056.7318591624</v>
      </c>
      <c r="H26" s="10">
        <f t="shared" si="1"/>
        <v>24336510.586732462</v>
      </c>
      <c r="I26" s="91">
        <f t="shared" si="2"/>
        <v>6.66752343912</v>
      </c>
    </row>
    <row r="27" spans="2:9" ht="15.75" thickBot="1">
      <c r="B27" s="77" t="s">
        <v>5</v>
      </c>
      <c r="C27" s="34" t="s">
        <v>10</v>
      </c>
      <c r="D27" s="35" t="s">
        <v>11</v>
      </c>
      <c r="E27" s="36" t="s">
        <v>12</v>
      </c>
      <c r="F27" s="37">
        <v>5</v>
      </c>
      <c r="G27" s="9">
        <v>1244879.9999999998</v>
      </c>
      <c r="H27" s="10">
        <f t="shared" si="1"/>
        <v>6224399.9999999991</v>
      </c>
      <c r="I27" s="89">
        <v>1.482</v>
      </c>
    </row>
    <row r="28" spans="2:9" ht="15.75" thickBot="1">
      <c r="B28" s="78"/>
      <c r="C28" s="38" t="s">
        <v>13</v>
      </c>
      <c r="D28" s="39" t="s">
        <v>11</v>
      </c>
      <c r="E28" s="40" t="s">
        <v>12</v>
      </c>
      <c r="F28" s="41">
        <v>4</v>
      </c>
      <c r="G28" s="15">
        <v>3039119.9999999995</v>
      </c>
      <c r="H28" s="10">
        <f t="shared" si="1"/>
        <v>12156479.999999998</v>
      </c>
      <c r="I28" s="94">
        <v>2.8943999999999996</v>
      </c>
    </row>
    <row r="29" spans="2:9" ht="15.75" thickBot="1">
      <c r="B29" s="78"/>
      <c r="C29" s="38" t="s">
        <v>14</v>
      </c>
      <c r="D29" s="39" t="s">
        <v>11</v>
      </c>
      <c r="E29" s="40" t="s">
        <v>12</v>
      </c>
      <c r="F29" s="41">
        <v>9</v>
      </c>
      <c r="G29" s="15">
        <v>3850560</v>
      </c>
      <c r="H29" s="10">
        <f t="shared" si="1"/>
        <v>34655040</v>
      </c>
      <c r="I29" s="94">
        <v>8.2512000000000008</v>
      </c>
    </row>
    <row r="30" spans="2:9" ht="15.75" thickBot="1">
      <c r="B30" s="78"/>
      <c r="C30" s="38" t="s">
        <v>15</v>
      </c>
      <c r="D30" s="39" t="s">
        <v>11</v>
      </c>
      <c r="E30" s="40" t="s">
        <v>12</v>
      </c>
      <c r="F30" s="42">
        <v>5</v>
      </c>
      <c r="G30" s="15">
        <v>6299999.9999999991</v>
      </c>
      <c r="H30" s="10">
        <f t="shared" si="1"/>
        <v>31499999.999999996</v>
      </c>
      <c r="I30" s="94">
        <v>7.5</v>
      </c>
    </row>
    <row r="31" spans="2:9" ht="15.75" thickBot="1">
      <c r="B31" s="78"/>
      <c r="C31" s="38" t="s">
        <v>16</v>
      </c>
      <c r="D31" s="39" t="s">
        <v>11</v>
      </c>
      <c r="E31" s="40" t="s">
        <v>12</v>
      </c>
      <c r="F31" s="14">
        <v>37</v>
      </c>
      <c r="G31" s="15">
        <v>7055999.9999999981</v>
      </c>
      <c r="H31" s="10">
        <f t="shared" si="1"/>
        <v>261071999.99999994</v>
      </c>
      <c r="I31" s="94">
        <v>62.16</v>
      </c>
    </row>
    <row r="32" spans="2:9" ht="15.75" thickBot="1">
      <c r="B32" s="78"/>
      <c r="C32" s="38" t="s">
        <v>17</v>
      </c>
      <c r="D32" s="39" t="s">
        <v>11</v>
      </c>
      <c r="E32" s="40" t="s">
        <v>12</v>
      </c>
      <c r="F32" s="14">
        <v>5</v>
      </c>
      <c r="G32" s="15">
        <v>7812000</v>
      </c>
      <c r="H32" s="10">
        <f t="shared" si="1"/>
        <v>39060000</v>
      </c>
      <c r="I32" s="94">
        <v>9.3000000000000007</v>
      </c>
    </row>
    <row r="33" spans="2:11" ht="15.75" thickBot="1">
      <c r="B33" s="78"/>
      <c r="C33" s="43" t="s">
        <v>18</v>
      </c>
      <c r="D33" s="44" t="s">
        <v>11</v>
      </c>
      <c r="E33" s="45" t="s">
        <v>12</v>
      </c>
      <c r="F33" s="14">
        <v>2</v>
      </c>
      <c r="G33" s="20">
        <v>8971200</v>
      </c>
      <c r="H33" s="10">
        <f t="shared" si="1"/>
        <v>17942400</v>
      </c>
      <c r="I33" s="95">
        <v>4.2720000000000002</v>
      </c>
    </row>
    <row r="34" spans="2:11" ht="15.75" thickBot="1">
      <c r="B34" s="78"/>
      <c r="C34" s="34" t="s">
        <v>19</v>
      </c>
      <c r="D34" s="35" t="s">
        <v>11</v>
      </c>
      <c r="E34" s="36" t="s">
        <v>12</v>
      </c>
      <c r="F34" s="37">
        <v>157</v>
      </c>
      <c r="G34" s="9">
        <v>796320.00000000012</v>
      </c>
      <c r="H34" s="10">
        <f t="shared" si="1"/>
        <v>125022240.00000001</v>
      </c>
      <c r="I34" s="89">
        <v>29.767200000000006</v>
      </c>
    </row>
    <row r="35" spans="2:11" ht="15.75" thickBot="1">
      <c r="B35" s="78"/>
      <c r="C35" s="38" t="s">
        <v>20</v>
      </c>
      <c r="D35" s="39" t="s">
        <v>11</v>
      </c>
      <c r="E35" s="40" t="s">
        <v>12</v>
      </c>
      <c r="F35" s="41">
        <v>73</v>
      </c>
      <c r="G35" s="15">
        <v>1128960</v>
      </c>
      <c r="H35" s="10">
        <f t="shared" si="1"/>
        <v>82414080</v>
      </c>
      <c r="I35" s="94">
        <v>19.622399999999999</v>
      </c>
    </row>
    <row r="36" spans="2:11" ht="15.75" thickBot="1">
      <c r="B36" s="78"/>
      <c r="C36" s="38" t="s">
        <v>21</v>
      </c>
      <c r="D36" s="39" t="s">
        <v>11</v>
      </c>
      <c r="E36" s="40" t="s">
        <v>12</v>
      </c>
      <c r="F36" s="41">
        <v>136</v>
      </c>
      <c r="G36" s="15">
        <v>1547279.9999999995</v>
      </c>
      <c r="H36" s="10">
        <f t="shared" si="1"/>
        <v>210430079.99999994</v>
      </c>
      <c r="I36" s="94">
        <v>50.102399999999996</v>
      </c>
    </row>
    <row r="37" spans="2:11" ht="15.75" thickBot="1">
      <c r="B37" s="78"/>
      <c r="C37" s="38" t="s">
        <v>22</v>
      </c>
      <c r="D37" s="39" t="s">
        <v>11</v>
      </c>
      <c r="E37" s="40" t="s">
        <v>12</v>
      </c>
      <c r="F37" s="41">
        <v>300</v>
      </c>
      <c r="G37" s="15">
        <v>1819439.9999999998</v>
      </c>
      <c r="H37" s="10">
        <f t="shared" si="1"/>
        <v>545831999.99999988</v>
      </c>
      <c r="I37" s="94">
        <v>130</v>
      </c>
      <c r="K37" s="72"/>
    </row>
    <row r="38" spans="2:11" ht="15.75" thickBot="1">
      <c r="B38" s="78"/>
      <c r="C38" s="38" t="s">
        <v>23</v>
      </c>
      <c r="D38" s="39" t="s">
        <v>11</v>
      </c>
      <c r="E38" s="40" t="s">
        <v>12</v>
      </c>
      <c r="F38" s="41">
        <v>107</v>
      </c>
      <c r="G38" s="15">
        <v>2126880</v>
      </c>
      <c r="H38" s="10">
        <f t="shared" si="1"/>
        <v>227576160</v>
      </c>
      <c r="I38" s="94">
        <v>54.184800000000003</v>
      </c>
    </row>
    <row r="39" spans="2:11" ht="15.75" thickBot="1">
      <c r="B39" s="78"/>
      <c r="C39" s="38" t="s">
        <v>24</v>
      </c>
      <c r="D39" s="39" t="s">
        <v>11</v>
      </c>
      <c r="E39" s="40" t="s">
        <v>12</v>
      </c>
      <c r="F39" s="41">
        <v>143</v>
      </c>
      <c r="G39" s="15">
        <v>2474640</v>
      </c>
      <c r="H39" s="10">
        <f t="shared" si="1"/>
        <v>353873520</v>
      </c>
      <c r="I39" s="94">
        <v>84.255600000000001</v>
      </c>
    </row>
    <row r="40" spans="2:11" ht="15.75" thickBot="1">
      <c r="B40" s="78"/>
      <c r="C40" s="38" t="s">
        <v>25</v>
      </c>
      <c r="D40" s="39" t="s">
        <v>11</v>
      </c>
      <c r="E40" s="40" t="s">
        <v>12</v>
      </c>
      <c r="F40" s="41">
        <v>5</v>
      </c>
      <c r="G40" s="15">
        <v>2877840</v>
      </c>
      <c r="H40" s="10">
        <f t="shared" si="1"/>
        <v>14389200</v>
      </c>
      <c r="I40" s="94">
        <v>3.4260000000000002</v>
      </c>
    </row>
    <row r="41" spans="2:11" ht="15.75" thickBot="1">
      <c r="B41" s="78"/>
      <c r="C41" s="38" t="s">
        <v>26</v>
      </c>
      <c r="D41" s="39" t="s">
        <v>11</v>
      </c>
      <c r="E41" s="40" t="s">
        <v>12</v>
      </c>
      <c r="F41" s="41">
        <v>72</v>
      </c>
      <c r="G41" s="15">
        <v>3341519.9999999991</v>
      </c>
      <c r="H41" s="10">
        <f t="shared" si="1"/>
        <v>240589439.99999994</v>
      </c>
      <c r="I41" s="94">
        <v>57.283199999999994</v>
      </c>
    </row>
    <row r="42" spans="2:11" ht="15.75" thickBot="1">
      <c r="B42" s="78"/>
      <c r="C42" s="38" t="s">
        <v>27</v>
      </c>
      <c r="D42" s="39" t="s">
        <v>11</v>
      </c>
      <c r="E42" s="40" t="s">
        <v>12</v>
      </c>
      <c r="F42" s="41">
        <v>57</v>
      </c>
      <c r="G42" s="15">
        <v>3911039.9999999991</v>
      </c>
      <c r="H42" s="10">
        <f t="shared" si="1"/>
        <v>222929279.99999994</v>
      </c>
      <c r="I42" s="94">
        <v>53.078399999999995</v>
      </c>
    </row>
    <row r="43" spans="2:11" ht="15.75" thickBot="1">
      <c r="B43" s="78"/>
      <c r="C43" s="43" t="s">
        <v>28</v>
      </c>
      <c r="D43" s="44" t="s">
        <v>11</v>
      </c>
      <c r="E43" s="45" t="s">
        <v>12</v>
      </c>
      <c r="F43" s="46">
        <v>19</v>
      </c>
      <c r="G43" s="20">
        <v>6904800</v>
      </c>
      <c r="H43" s="10">
        <f t="shared" si="1"/>
        <v>131191200</v>
      </c>
      <c r="I43" s="95">
        <v>31.236000000000001</v>
      </c>
    </row>
    <row r="44" spans="2:11" ht="15.75" thickBot="1">
      <c r="B44" s="79"/>
      <c r="C44" s="47" t="s">
        <v>29</v>
      </c>
      <c r="D44" s="48" t="s">
        <v>11</v>
      </c>
      <c r="E44" s="49" t="s">
        <v>12</v>
      </c>
      <c r="F44" s="50">
        <v>389</v>
      </c>
      <c r="G44" s="20">
        <v>947520</v>
      </c>
      <c r="H44" s="10">
        <f t="shared" si="1"/>
        <v>368585280</v>
      </c>
      <c r="I44" s="96">
        <v>87.758400000000009</v>
      </c>
    </row>
    <row r="45" spans="2:11" ht="15.75" thickBot="1">
      <c r="B45" s="77" t="s">
        <v>30</v>
      </c>
      <c r="C45" s="51" t="s">
        <v>31</v>
      </c>
      <c r="D45" s="52"/>
      <c r="E45" s="53"/>
      <c r="F45" s="54">
        <v>32</v>
      </c>
      <c r="G45" s="9">
        <v>4631004.4671346517</v>
      </c>
      <c r="H45" s="10">
        <f t="shared" si="1"/>
        <v>148192142.94830886</v>
      </c>
      <c r="I45" s="92">
        <v>30.554879999999997</v>
      </c>
    </row>
    <row r="46" spans="2:11" ht="15.75" thickBot="1">
      <c r="B46" s="78"/>
      <c r="C46" s="55" t="s">
        <v>32</v>
      </c>
      <c r="D46" s="56"/>
      <c r="E46" s="57"/>
      <c r="F46" s="58">
        <v>19</v>
      </c>
      <c r="G46" s="15">
        <v>7178435.226547542</v>
      </c>
      <c r="H46" s="10">
        <f t="shared" si="1"/>
        <v>136390269.30440331</v>
      </c>
      <c r="I46" s="93">
        <v>28.121519999999997</v>
      </c>
    </row>
    <row r="47" spans="2:11" ht="15.75" thickBot="1">
      <c r="B47" s="78"/>
      <c r="C47" s="59" t="s">
        <v>33</v>
      </c>
      <c r="D47" s="60"/>
      <c r="E47" s="61"/>
      <c r="F47" s="62">
        <v>2</v>
      </c>
      <c r="G47" s="20">
        <v>9030953.4141671974</v>
      </c>
      <c r="H47" s="10">
        <f t="shared" si="1"/>
        <v>18061906.828334395</v>
      </c>
      <c r="I47" s="91">
        <v>3.7240799999999998</v>
      </c>
    </row>
    <row r="48" spans="2:11" ht="15.75" thickBot="1">
      <c r="B48" s="78"/>
      <c r="C48" s="51" t="s">
        <v>34</v>
      </c>
      <c r="D48" s="52"/>
      <c r="E48" s="53"/>
      <c r="F48" s="54">
        <v>43</v>
      </c>
      <c r="G48" s="9">
        <v>1081363.1142310146</v>
      </c>
      <c r="H48" s="10">
        <f t="shared" si="1"/>
        <v>46498613.911933631</v>
      </c>
      <c r="I48" s="92">
        <v>9.587279999999998</v>
      </c>
    </row>
    <row r="49" spans="2:11" ht="15.75" thickBot="1">
      <c r="B49" s="78"/>
      <c r="C49" s="59" t="s">
        <v>35</v>
      </c>
      <c r="D49" s="60"/>
      <c r="E49" s="61"/>
      <c r="F49" s="62">
        <v>2</v>
      </c>
      <c r="G49" s="20">
        <v>1568500.3190810464</v>
      </c>
      <c r="H49" s="10">
        <f t="shared" si="1"/>
        <v>3137000.6381620928</v>
      </c>
      <c r="I49" s="91">
        <v>0.64679999999999993</v>
      </c>
    </row>
    <row r="50" spans="2:11" ht="15.75" thickBot="1">
      <c r="B50" s="78"/>
      <c r="C50" s="51" t="s">
        <v>36</v>
      </c>
      <c r="D50" s="52"/>
      <c r="E50" s="53"/>
      <c r="F50" s="54">
        <v>82</v>
      </c>
      <c r="G50" s="9">
        <v>4419737.0772176124</v>
      </c>
      <c r="H50" s="10">
        <f t="shared" si="1"/>
        <v>362418440.33184421</v>
      </c>
      <c r="I50" s="92">
        <v>74.724959999999996</v>
      </c>
    </row>
    <row r="51" spans="2:11" ht="15.75" thickBot="1">
      <c r="B51" s="78"/>
      <c r="C51" s="55" t="s">
        <v>37</v>
      </c>
      <c r="D51" s="56"/>
      <c r="E51" s="57"/>
      <c r="F51" s="58">
        <v>20</v>
      </c>
      <c r="G51" s="15">
        <v>1769291.6400765791</v>
      </c>
      <c r="H51" s="10">
        <f t="shared" si="1"/>
        <v>35385832.801531583</v>
      </c>
      <c r="I51" s="93">
        <v>7.2959999999999994</v>
      </c>
    </row>
    <row r="52" spans="2:11" ht="15.75" thickBot="1">
      <c r="B52" s="78"/>
      <c r="C52" s="55" t="s">
        <v>38</v>
      </c>
      <c r="D52" s="56"/>
      <c r="E52" s="57"/>
      <c r="F52" s="58">
        <v>69</v>
      </c>
      <c r="G52" s="15">
        <v>3440224.6330567962</v>
      </c>
      <c r="H52" s="10">
        <f t="shared" si="1"/>
        <v>237375499.68091893</v>
      </c>
      <c r="I52" s="93">
        <v>48.943079999999995</v>
      </c>
    </row>
    <row r="53" spans="2:11" ht="15.75" thickBot="1">
      <c r="B53" s="79"/>
      <c r="C53" s="59" t="s">
        <v>39</v>
      </c>
      <c r="D53" s="60"/>
      <c r="E53" s="61"/>
      <c r="F53" s="62">
        <v>1171</v>
      </c>
      <c r="G53" s="20">
        <v>371900.44671346527</v>
      </c>
      <c r="H53" s="10">
        <f t="shared" si="1"/>
        <v>435495423.10146785</v>
      </c>
      <c r="I53" s="91">
        <v>89.792279999999991</v>
      </c>
      <c r="K53" s="73"/>
    </row>
    <row r="54" spans="2:11" ht="18.75" thickBot="1">
      <c r="B54" s="1"/>
      <c r="C54" s="63"/>
      <c r="D54" s="64"/>
      <c r="E54" s="64"/>
      <c r="F54" s="65" t="s">
        <v>40</v>
      </c>
      <c r="G54" s="66" t="s">
        <v>41</v>
      </c>
      <c r="H54" s="67">
        <f>SUM(H5:H53)</f>
        <v>9195675122.8279381</v>
      </c>
      <c r="I54" s="97">
        <f>SUM(I5:I53)</f>
        <v>2317.9832985374801</v>
      </c>
    </row>
    <row r="55" spans="2:11" ht="18.75" thickBot="1">
      <c r="B55" s="1"/>
      <c r="C55" s="68"/>
      <c r="G55" s="69" t="s">
        <v>42</v>
      </c>
      <c r="H55" s="70">
        <f>H54/I54/1000</f>
        <v>3967.1015441008149</v>
      </c>
      <c r="I55" s="71" t="s">
        <v>43</v>
      </c>
    </row>
    <row r="56" spans="2:11" ht="18">
      <c r="B56" s="1"/>
      <c r="C56" s="80" t="s">
        <v>44</v>
      </c>
      <c r="D56" s="81"/>
      <c r="E56" s="81"/>
      <c r="F56" s="81"/>
      <c r="G56" s="81"/>
      <c r="H56" s="81"/>
      <c r="I56" s="82"/>
    </row>
    <row r="57" spans="2:11" ht="18">
      <c r="B57" s="1"/>
      <c r="C57" s="83"/>
      <c r="D57" s="84"/>
      <c r="E57" s="84"/>
      <c r="F57" s="84"/>
      <c r="G57" s="84"/>
      <c r="H57" s="84"/>
      <c r="I57" s="85"/>
    </row>
    <row r="58" spans="2:11" ht="18.75" thickBot="1">
      <c r="B58" s="1"/>
      <c r="C58" s="86"/>
      <c r="D58" s="87"/>
      <c r="E58" s="87"/>
      <c r="F58" s="87"/>
      <c r="G58" s="87"/>
      <c r="H58" s="87"/>
      <c r="I58" s="88"/>
    </row>
  </sheetData>
  <mergeCells count="5">
    <mergeCell ref="C4:E4"/>
    <mergeCell ref="B5:B26"/>
    <mergeCell ref="B27:B44"/>
    <mergeCell ref="B45:B53"/>
    <mergeCell ref="C56:I58"/>
  </mergeCells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Daza Burgos</dc:creator>
  <cp:lastModifiedBy>PC GAMER</cp:lastModifiedBy>
  <cp:lastPrinted>2026-01-16T19:05:27Z</cp:lastPrinted>
  <dcterms:created xsi:type="dcterms:W3CDTF">2025-12-23T20:10:08Z</dcterms:created>
  <dcterms:modified xsi:type="dcterms:W3CDTF">2026-01-16T19:06:34Z</dcterms:modified>
</cp:coreProperties>
</file>